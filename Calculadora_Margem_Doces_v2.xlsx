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gredientes" sheetId="1" state="visible" r:id="rId3"/>
    <sheet name="Receitas Detalhadas" sheetId="2" state="visible" r:id="rId4"/>
    <sheet name="Resumo Receitas" sheetId="3" state="visible" r:id="rId5"/>
    <sheet name="Análi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<sst xmlns="http://schemas.openxmlformats.org/spreadsheetml/2006/main" count="142" uniqueCount="128">
  <si>
    <t xml:space="preserve">Ingrediente</t>
  </si>
  <si>
    <t xml:space="preserve">Unidade</t>
  </si>
  <si>
    <t xml:space="preserve">Preço por Unidade (R$)</t>
  </si>
  <si>
    <t xml:space="preserve">Qtd Comprada</t>
  </si>
  <si>
    <t xml:space="preserve">Data Compra</t>
  </si>
  <si>
    <t xml:space="preserve">Saldo Inicial</t>
  </si>
  <si>
    <t xml:space="preserve">Saldo Restante</t>
  </si>
  <si>
    <t xml:space="preserve">Observações</t>
  </si>
  <si>
    <t xml:space="preserve">Açúcar</t>
  </si>
  <si>
    <t xml:space="preserve">kg</t>
  </si>
  <si>
    <t xml:space="preserve">20/11/2025</t>
  </si>
  <si>
    <t xml:space="preserve">Farinha de Trigo</t>
  </si>
  <si>
    <t xml:space="preserve">Chocolate em Pó</t>
  </si>
  <si>
    <t xml:space="preserve">18/11/2025</t>
  </si>
  <si>
    <t xml:space="preserve">Leite Condensado</t>
  </si>
  <si>
    <t xml:space="preserve">L</t>
  </si>
  <si>
    <t xml:space="preserve">Manteiga</t>
  </si>
  <si>
    <t xml:space="preserve">19/11/2025</t>
  </si>
  <si>
    <t xml:space="preserve">ℹ️  COMO UTILIZAR ESTA ABA</t>
  </si>
  <si>
    <t xml:space="preserve">INSTRUÇÕES GERAIS:</t>
  </si>
  <si>
    <t xml:space="preserve">1. Registre cada ingrediente</t>
  </si>
  <si>
    <t xml:space="preserve">Ex: Açúcar, Farinha, Chocolate</t>
  </si>
  <si>
    <t xml:space="preserve">2. Informe unidade de medida</t>
  </si>
  <si>
    <t xml:space="preserve">kg, L, g, ml, unidade, etc</t>
  </si>
  <si>
    <t xml:space="preserve">3. Digite preço pago/unidade</t>
  </si>
  <si>
    <t xml:space="preserve">Ex: 5,50 por kg de açúcar</t>
  </si>
  <si>
    <t xml:space="preserve">4. Quantidade comprada = saldo</t>
  </si>
  <si>
    <t xml:space="preserve">Coluna Saldo Inicial</t>
  </si>
  <si>
    <t xml:space="preserve">5. Conforme usa, saldo diminui</t>
  </si>
  <si>
    <t xml:space="preserve">Use nos cálculos de custo</t>
  </si>
  <si>
    <t xml:space="preserve">EXEMPLO PRÁTICO:</t>
  </si>
  <si>
    <t xml:space="preserve">Comprou 2kg de açúcar</t>
  </si>
  <si>
    <t xml:space="preserve">2kg × R$ 5,50 = R$ 11,00</t>
  </si>
  <si>
    <t xml:space="preserve">Usou 200g em uma receita</t>
  </si>
  <si>
    <t xml:space="preserve">Saldo fica em 1,8 kg</t>
  </si>
  <si>
    <t xml:space="preserve">Custo do ingrediente usado</t>
  </si>
  <si>
    <t xml:space="preserve">0,2kg × R$ 5,50 = R$ 1,10</t>
  </si>
  <si>
    <t xml:space="preserve">🍫 BRIGADEIRO</t>
  </si>
  <si>
    <t xml:space="preserve">Ingrediente Usado</t>
  </si>
  <si>
    <t xml:space="preserve">Quantidade Usada</t>
  </si>
  <si>
    <t xml:space="preserve">Preço Unitário (R$)</t>
  </si>
  <si>
    <t xml:space="preserve">Subtotal (R$)</t>
  </si>
  <si>
    <t xml:space="preserve">g</t>
  </si>
  <si>
    <t xml:space="preserve">ml</t>
  </si>
  <si>
    <t xml:space="preserve">TOTAL CUSTO</t>
  </si>
  <si>
    <t xml:space="preserve">Preço de Venda:</t>
  </si>
  <si>
    <t xml:space="preserve">Quantidade Produzida:</t>
  </si>
  <si>
    <t xml:space="preserve">Custo Total do Lote:</t>
  </si>
  <si>
    <t xml:space="preserve">Lucro por Lote:</t>
  </si>
  <si>
    <t xml:space="preserve">Lucro por Unidade:</t>
  </si>
  <si>
    <t xml:space="preserve">Margem de Lucro %:</t>
  </si>
  <si>
    <t xml:space="preserve">PASSO A PASSO:</t>
  </si>
  <si>
    <t xml:space="preserve">1. Renomeie a aba para seu doce</t>
  </si>
  <si>
    <t xml:space="preserve">Ex: Brigadeiro → Beijinho</t>
  </si>
  <si>
    <t xml:space="preserve">2. Liste ingredientes usados</t>
  </si>
  <si>
    <t xml:space="preserve">Coluna A</t>
  </si>
  <si>
    <t xml:space="preserve">3. Coloque quantidade em GRAMAS</t>
  </si>
  <si>
    <t xml:space="preserve">Ex: 200g, não 0.2kg</t>
  </si>
  <si>
    <t xml:space="preserve">4. Sistema busca preço automaticamente</t>
  </si>
  <si>
    <t xml:space="preserve">VLOOKUP dos Ingredientes</t>
  </si>
  <si>
    <t xml:space="preserve">5. Subtotal = (Qtd / 1000) × Preço</t>
  </si>
  <si>
    <t xml:space="preserve">Automaticamente calculado</t>
  </si>
  <si>
    <t xml:space="preserve">6. Informe Preço de Venda</t>
  </si>
  <si>
    <t xml:space="preserve">O valor que cobra por unidade</t>
  </si>
  <si>
    <t xml:space="preserve">7. Quantidade produzida</t>
  </si>
  <si>
    <t xml:space="preserve">Quantas unidades saem do lote</t>
  </si>
  <si>
    <t xml:space="preserve">8. Veja o lucro e margem%</t>
  </si>
  <si>
    <t xml:space="preserve">Automaticamente atualizado</t>
  </si>
  <si>
    <t xml:space="preserve">EXEMPLO:</t>
  </si>
  <si>
    <t xml:space="preserve">Receita: Brigadeiro</t>
  </si>
  <si>
    <t xml:space="preserve">Ingredientes: Açúcar, Leite Cond., Chocolate, Manteiga</t>
  </si>
  <si>
    <t xml:space="preserve">Quantidades: 200g, 150ml, 50g, 20g</t>
  </si>
  <si>
    <t xml:space="preserve">Total de custo: R$ 12,50</t>
  </si>
  <si>
    <t xml:space="preserve">Vende 20 unidades por R$ 80,00</t>
  </si>
  <si>
    <t xml:space="preserve">Lucro por lote: R$ 67,50</t>
  </si>
  <si>
    <t xml:space="preserve">Margem: 84%</t>
  </si>
  <si>
    <t xml:space="preserve">Excelente!</t>
  </si>
  <si>
    <t xml:space="preserve">Receita</t>
  </si>
  <si>
    <t xml:space="preserve">Custo Total</t>
  </si>
  <si>
    <t xml:space="preserve">Preço Venda</t>
  </si>
  <si>
    <t xml:space="preserve">Quantidade</t>
  </si>
  <si>
    <t xml:space="preserve">Lucro Lote</t>
  </si>
  <si>
    <t xml:space="preserve">Lucro Unit</t>
  </si>
  <si>
    <t xml:space="preserve">Margem %</t>
  </si>
  <si>
    <t xml:space="preserve">Brigadeiro</t>
  </si>
  <si>
    <t xml:space="preserve">VISÃO GERAL DE TODAS AS RECEITAS:</t>
  </si>
  <si>
    <t xml:space="preserve">Esta aba consolida automaticamente</t>
  </si>
  <si>
    <t xml:space="preserve">dados de todas as receitas</t>
  </si>
  <si>
    <t xml:space="preserve">COMO FUNCIONA:</t>
  </si>
  <si>
    <t xml:space="preserve">• Cada receita criada aparece aqui</t>
  </si>
  <si>
    <t xml:space="preserve">Automaticamente atualizada</t>
  </si>
  <si>
    <t xml:space="preserve">• Compara custo vs preço</t>
  </si>
  <si>
    <t xml:space="preserve">Mostra o melhor lucro</t>
  </si>
  <si>
    <t xml:space="preserve">• Margem% indica rentabilidade</t>
  </si>
  <si>
    <t xml:space="preserve">Acima de 50% é ótimo!</t>
  </si>
  <si>
    <t xml:space="preserve">PARA CRIAR NOVA RECEITA:</t>
  </si>
  <si>
    <t xml:space="preserve">1. Vá à aba 'Receitas Detalhadas'</t>
  </si>
  <si>
    <t xml:space="preserve">2. Clique botão direito na aba</t>
  </si>
  <si>
    <t xml:space="preserve">3. Mover/Copiar → Copiar</t>
  </si>
  <si>
    <t xml:space="preserve">4. Renomeie: 'Receita 1', 'Receita 2', etc</t>
  </si>
  <si>
    <t xml:space="preserve">5. Edite os dados (ingredientes, preços)</t>
  </si>
  <si>
    <t xml:space="preserve">6. Aqui aparecerá automaticamente</t>
  </si>
  <si>
    <t xml:space="preserve">EXEMPLO DE LEITURA:</t>
  </si>
  <si>
    <t xml:space="preserve">Brigadeiro: R$12,50 custo → R$80 venda</t>
  </si>
  <si>
    <t xml:space="preserve">Lucro R$67,50</t>
  </si>
  <si>
    <t xml:space="preserve">Produz 20 unidades por lote</t>
  </si>
  <si>
    <t xml:space="preserve">84% de margem!</t>
  </si>
  <si>
    <t xml:space="preserve">ANÁLISE GERAL</t>
  </si>
  <si>
    <t xml:space="preserve">Ingredientes Cadastrados:</t>
  </si>
  <si>
    <t xml:space="preserve">Receitas Registradas:</t>
  </si>
  <si>
    <t xml:space="preserve">Lucro Total:</t>
  </si>
  <si>
    <t xml:space="preserve">Margem Média:</t>
  </si>
  <si>
    <t xml:space="preserve">💡 RESUMO DE USO:</t>
  </si>
  <si>
    <t xml:space="preserve">✓ Aba 1: Ingredientes - Registre todas compras</t>
  </si>
  <si>
    <t xml:space="preserve">✓ Aba 2: Receitas - Crie uma por doce/produto</t>
  </si>
  <si>
    <t xml:space="preserve">✓ Aba 3: Resumo - Veja tudo junto</t>
  </si>
  <si>
    <t xml:space="preserve">✓ Aba 4: Análise - Acompanhe totais</t>
  </si>
  <si>
    <t xml:space="preserve">📌 DICA IMPORTANTE:</t>
  </si>
  <si>
    <t xml:space="preserve">Copie a aba 'Receitas Detalhadas' para cada</t>
  </si>
  <si>
    <t xml:space="preserve">nova receita. Sistema puxará automaticamente</t>
  </si>
  <si>
    <t xml:space="preserve">os preços da aba Ingredientes via VLOOKUP</t>
  </si>
  <si>
    <t xml:space="preserve">🎯 FÓRMULA CHAVE:</t>
  </si>
  <si>
    <t xml:space="preserve">Custo do ingrediente = (Qtd em g / 1000) × Preço/kg</t>
  </si>
  <si>
    <t xml:space="preserve">Margem % = (Lucro Total / Receita Total) × 100</t>
  </si>
  <si>
    <t xml:space="preserve">💰 INTERPRETAÇÃO:</t>
  </si>
  <si>
    <t xml:space="preserve">• Margem 50%+ = Excelente</t>
  </si>
  <si>
    <t xml:space="preserve">• Margem 30-50% = Bom</t>
  </si>
  <si>
    <t xml:space="preserve">• Margem &lt;30% = Revisar preço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</si>
</sst>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dd/mm/yyyy"/>
    <numFmt numFmtId="167" formatCode="0.00\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9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C00000"/>
      <name val="Cambria"/>
      <family val="0"/>
      <charset val="1"/>
    </font>
    <font>
      <b val="true"/>
      <sz val="12"/>
      <color rgb="FF00B050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6B35"/>
        <bgColor rgb="FFFF8080"/>
      </patternFill>
    </fill>
    <fill>
      <patternFill patternType="solid">
        <fgColor rgb="FFFF8C00"/>
        <bgColor rgb="FFFF6B35"/>
      </patternFill>
    </fill>
    <fill>
      <patternFill patternType="solid">
        <fgColor rgb="FF4472C4"/>
        <bgColor rgb="FF666666"/>
      </patternFill>
    </fill>
    <fill>
      <patternFill patternType="solid">
        <fgColor rgb="FFE7E6E6"/>
        <bgColor rgb="FFFFFFFF"/>
      </patternFill>
    </fill>
    <fill>
      <patternFill patternType="solid">
        <fgColor rgb="FF70AD47"/>
        <bgColor rgb="FF99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8C00"/>
      <rgbColor rgb="FFFF6B35"/>
      <rgbColor rgb="FF666666"/>
      <rgbColor rgb="FF70AD47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59765625" defaultRowHeight="15" zeroHeight="false" outlineLevelRow="0" outlineLevelCol="0"/>
  <cols>
    <col collapsed="false" customWidth="true" hidden="false" outlineLevel="0" max="8" min="1" style="0" width="18"/>
  </cols>
  <sheetData>
    <row r="1" customFormat="false" ht="31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3" t="n">
        <v>5.5</v>
      </c>
      <c r="D2" s="2" t="n">
        <v>2</v>
      </c>
      <c r="E2" s="4" t="s">
        <v>10</v>
      </c>
      <c r="F2" s="2" t="n">
        <f aca="false">D2</f>
        <v>2</v>
      </c>
      <c r="G2" s="2" t="n">
        <f aca="false">F2</f>
        <v>2</v>
      </c>
    </row>
    <row r="3" customFormat="false" ht="15" hidden="false" customHeight="false" outlineLevel="0" collapsed="false">
      <c r="A3" s="2" t="s">
        <v>11</v>
      </c>
      <c r="B3" s="2" t="s">
        <v>9</v>
      </c>
      <c r="C3" s="3" t="n">
        <v>4.2</v>
      </c>
      <c r="D3" s="2" t="n">
        <v>1</v>
      </c>
      <c r="E3" s="4" t="s">
        <v>10</v>
      </c>
      <c r="F3" s="2" t="n">
        <f aca="false">D3</f>
        <v>1</v>
      </c>
      <c r="G3" s="2" t="n">
        <f aca="false">F3</f>
        <v>1</v>
      </c>
    </row>
    <row r="4" customFormat="false" ht="15" hidden="false" customHeight="false" outlineLevel="0" collapsed="false">
      <c r="A4" s="2" t="s">
        <v>12</v>
      </c>
      <c r="B4" s="2" t="s">
        <v>9</v>
      </c>
      <c r="C4" s="3" t="n">
        <v>22</v>
      </c>
      <c r="D4" s="2" t="n">
        <v>0.5</v>
      </c>
      <c r="E4" s="4" t="s">
        <v>13</v>
      </c>
      <c r="F4" s="2" t="n">
        <f aca="false">D4</f>
        <v>0.5</v>
      </c>
      <c r="G4" s="2" t="n">
        <f aca="false">F4</f>
        <v>0.5</v>
      </c>
    </row>
    <row r="5" customFormat="false" ht="15" hidden="false" customHeight="false" outlineLevel="0" collapsed="false">
      <c r="A5" s="2" t="s">
        <v>14</v>
      </c>
      <c r="B5" s="2" t="s">
        <v>15</v>
      </c>
      <c r="C5" s="3" t="n">
        <v>12</v>
      </c>
      <c r="D5" s="2" t="n">
        <v>1</v>
      </c>
      <c r="E5" s="4" t="s">
        <v>10</v>
      </c>
      <c r="F5" s="2" t="n">
        <f aca="false">D5</f>
        <v>1</v>
      </c>
      <c r="G5" s="2" t="n">
        <f aca="false">F5</f>
        <v>1</v>
      </c>
    </row>
    <row r="6" customFormat="false" ht="15" hidden="false" customHeight="false" outlineLevel="0" collapsed="false">
      <c r="A6" s="2" t="s">
        <v>16</v>
      </c>
      <c r="B6" s="2" t="s">
        <v>9</v>
      </c>
      <c r="C6" s="3" t="n">
        <v>18.5</v>
      </c>
      <c r="D6" s="2" t="n">
        <v>0.5</v>
      </c>
      <c r="E6" s="4" t="s">
        <v>17</v>
      </c>
      <c r="F6" s="2" t="n">
        <f aca="false">D6</f>
        <v>0.5</v>
      </c>
      <c r="G6" s="2" t="n">
        <f aca="false">F6</f>
        <v>0.5</v>
      </c>
    </row>
    <row r="7" customFormat="false" ht="15" hidden="false" customHeight="false" outlineLevel="0" collapsed="false">
      <c r="A7" s="2"/>
      <c r="B7" s="2"/>
      <c r="C7" s="3"/>
      <c r="D7" s="2"/>
      <c r="E7" s="4"/>
      <c r="F7" s="2" t="n">
        <f aca="false">D7</f>
        <v>0</v>
      </c>
      <c r="G7" s="2" t="n">
        <f aca="false">F7</f>
        <v>0</v>
      </c>
      <c r="H7" s="2"/>
    </row>
    <row r="8" customFormat="false" ht="15" hidden="false" customHeight="false" outlineLevel="0" collapsed="false">
      <c r="A8" s="2"/>
      <c r="B8" s="2"/>
      <c r="C8" s="3"/>
      <c r="D8" s="2"/>
      <c r="E8" s="4"/>
      <c r="F8" s="2" t="n">
        <f aca="false">D8</f>
        <v>0</v>
      </c>
      <c r="G8" s="2" t="n">
        <f aca="false">F8</f>
        <v>0</v>
      </c>
      <c r="H8" s="2"/>
    </row>
    <row r="9" customFormat="false" ht="15" hidden="false" customHeight="false" outlineLevel="0" collapsed="false">
      <c r="A9" s="2"/>
      <c r="B9" s="2"/>
      <c r="C9" s="3"/>
      <c r="D9" s="2"/>
      <c r="E9" s="4"/>
      <c r="F9" s="2" t="n">
        <f aca="false">D9</f>
        <v>0</v>
      </c>
      <c r="G9" s="2" t="n">
        <f aca="false">F9</f>
        <v>0</v>
      </c>
      <c r="H9" s="2"/>
    </row>
    <row r="10" customFormat="false" ht="15" hidden="false" customHeight="false" outlineLevel="0" collapsed="false">
      <c r="A10" s="2"/>
      <c r="B10" s="2"/>
      <c r="C10" s="3"/>
      <c r="D10" s="2"/>
      <c r="E10" s="4"/>
      <c r="F10" s="2" t="n">
        <f aca="false">D10</f>
        <v>0</v>
      </c>
      <c r="G10" s="2" t="n">
        <f aca="false">F10</f>
        <v>0</v>
      </c>
      <c r="H10" s="2"/>
    </row>
    <row r="11" customFormat="false" ht="15" hidden="false" customHeight="false" outlineLevel="0" collapsed="false">
      <c r="A11" s="2"/>
      <c r="B11" s="2"/>
      <c r="C11" s="3"/>
      <c r="D11" s="2"/>
      <c r="E11" s="4"/>
      <c r="F11" s="2" t="n">
        <f aca="false">D11</f>
        <v>0</v>
      </c>
      <c r="G11" s="2" t="n">
        <f aca="false">F11</f>
        <v>0</v>
      </c>
      <c r="H11" s="2"/>
    </row>
    <row r="12" customFormat="false" ht="15" hidden="false" customHeight="false" outlineLevel="0" collapsed="false">
      <c r="A12" s="2"/>
      <c r="B12" s="2"/>
      <c r="C12" s="3"/>
      <c r="D12" s="2"/>
      <c r="E12" s="4"/>
      <c r="F12" s="2" t="n">
        <f aca="false">D12</f>
        <v>0</v>
      </c>
      <c r="G12" s="2" t="n">
        <f aca="false">F12</f>
        <v>0</v>
      </c>
      <c r="H12" s="2"/>
    </row>
    <row r="13" customFormat="false" ht="15" hidden="false" customHeight="false" outlineLevel="0" collapsed="false">
      <c r="A13" s="2"/>
      <c r="B13" s="2"/>
      <c r="C13" s="3"/>
      <c r="D13" s="2"/>
      <c r="E13" s="4"/>
      <c r="F13" s="2" t="n">
        <f aca="false">D13</f>
        <v>0</v>
      </c>
      <c r="G13" s="2" t="n">
        <f aca="false">F13</f>
        <v>0</v>
      </c>
      <c r="H13" s="2"/>
    </row>
    <row r="14" customFormat="false" ht="15" hidden="false" customHeight="false" outlineLevel="0" collapsed="false">
      <c r="A14" s="2"/>
      <c r="B14" s="2"/>
      <c r="C14" s="3"/>
      <c r="D14" s="2"/>
      <c r="E14" s="4"/>
      <c r="F14" s="2" t="n">
        <f aca="false">D14</f>
        <v>0</v>
      </c>
      <c r="G14" s="2" t="n">
        <f aca="false">F14</f>
        <v>0</v>
      </c>
      <c r="H14" s="2"/>
    </row>
    <row r="15" customFormat="false" ht="15" hidden="false" customHeight="false" outlineLevel="0" collapsed="false">
      <c r="A15" s="2"/>
      <c r="B15" s="2"/>
      <c r="C15" s="3"/>
      <c r="D15" s="2"/>
      <c r="E15" s="4"/>
      <c r="F15" s="2" t="n">
        <f aca="false">D15</f>
        <v>0</v>
      </c>
      <c r="G15" s="2" t="n">
        <f aca="false">F15</f>
        <v>0</v>
      </c>
      <c r="H15" s="2"/>
    </row>
    <row r="16" customFormat="false" ht="15" hidden="false" customHeight="false" outlineLevel="0" collapsed="false">
      <c r="A16" s="2"/>
      <c r="B16" s="2"/>
      <c r="C16" s="3"/>
      <c r="D16" s="2"/>
      <c r="E16" s="4"/>
      <c r="F16" s="2" t="n">
        <f aca="false">D16</f>
        <v>0</v>
      </c>
      <c r="G16" s="2" t="n">
        <f aca="false">F16</f>
        <v>0</v>
      </c>
      <c r="H16" s="2"/>
    </row>
    <row r="18" customFormat="false" ht="15" hidden="false" customHeight="false" outlineLevel="0" collapsed="false">
      <c r="A18" s="5" t="s">
        <v>18</v>
      </c>
      <c r="B18" s="5"/>
      <c r="C18" s="5"/>
      <c r="D18" s="5"/>
      <c r="E18" s="5"/>
      <c r="F18" s="5"/>
      <c r="G18" s="5"/>
      <c r="H18" s="5"/>
    </row>
    <row r="19" customFormat="false" ht="15" hidden="false" customHeight="true" outlineLevel="0" collapsed="false">
      <c r="A19" s="6" t="s">
        <v>19</v>
      </c>
      <c r="B19" s="6"/>
      <c r="C19" s="6"/>
      <c r="D19" s="6"/>
      <c r="E19" s="6"/>
      <c r="F19" s="6"/>
      <c r="G19" s="6"/>
      <c r="H19" s="6"/>
    </row>
    <row r="20" customFormat="false" ht="26.85" hidden="false" customHeight="false" outlineLevel="0" collapsed="false">
      <c r="A20" s="7" t="s">
        <v>20</v>
      </c>
      <c r="D20" s="8" t="s">
        <v>21</v>
      </c>
    </row>
    <row r="21" customFormat="false" ht="26.85" hidden="false" customHeight="false" outlineLevel="0" collapsed="false">
      <c r="A21" s="7" t="s">
        <v>22</v>
      </c>
      <c r="D21" s="8" t="s">
        <v>23</v>
      </c>
    </row>
    <row r="22" customFormat="false" ht="26.85" hidden="false" customHeight="false" outlineLevel="0" collapsed="false">
      <c r="A22" s="7" t="s">
        <v>24</v>
      </c>
      <c r="D22" s="8" t="s">
        <v>25</v>
      </c>
    </row>
    <row r="23" customFormat="false" ht="26.85" hidden="false" customHeight="false" outlineLevel="0" collapsed="false">
      <c r="A23" s="7" t="s">
        <v>26</v>
      </c>
      <c r="D23" s="8" t="s">
        <v>27</v>
      </c>
    </row>
    <row r="24" customFormat="false" ht="26.85" hidden="false" customHeight="false" outlineLevel="0" collapsed="false">
      <c r="A24" s="7" t="s">
        <v>28</v>
      </c>
      <c r="D24" s="8" t="s">
        <v>29</v>
      </c>
    </row>
    <row r="25" customFormat="false" ht="15" hidden="false" customHeight="false" outlineLevel="0" collapsed="false">
      <c r="A25" s="7"/>
    </row>
    <row r="26" customFormat="false" ht="15" hidden="false" customHeight="true" outlineLevel="0" collapsed="false">
      <c r="A26" s="6" t="s">
        <v>30</v>
      </c>
      <c r="B26" s="6"/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7" t="s">
        <v>31</v>
      </c>
      <c r="D27" s="8" t="s">
        <v>32</v>
      </c>
    </row>
    <row r="28" customFormat="false" ht="26.85" hidden="false" customHeight="false" outlineLevel="0" collapsed="false">
      <c r="A28" s="7" t="s">
        <v>33</v>
      </c>
      <c r="D28" s="8" t="s">
        <v>34</v>
      </c>
    </row>
    <row r="29" customFormat="false" ht="26.85" hidden="false" customHeight="false" outlineLevel="0" collapsed="false">
      <c r="A29" s="7" t="s">
        <v>35</v>
      </c>
      <c r="D29" s="8" t="s">
        <v>36</v>
      </c>
    </row>
  </sheetData>
  <mergeCells count="3">
    <mergeCell ref="A18:H18"/>
    <mergeCell ref="A19:H19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5" min="4" style="0" width="15"/>
  </cols>
  <sheetData>
    <row r="1" customFormat="false" ht="15" hidden="false" customHeight="false" outlineLevel="0" collapsed="false">
      <c r="A1" s="9" t="s">
        <v>37</v>
      </c>
      <c r="B1" s="9"/>
      <c r="C1" s="9"/>
      <c r="D1" s="9"/>
      <c r="E1" s="9"/>
    </row>
    <row r="2" customFormat="false" ht="15" hidden="false" customHeight="false" outlineLevel="0" collapsed="false">
      <c r="A2" s="10" t="s">
        <v>38</v>
      </c>
      <c r="B2" s="10" t="s">
        <v>1</v>
      </c>
      <c r="C2" s="10" t="s">
        <v>39</v>
      </c>
      <c r="D2" s="10" t="s">
        <v>40</v>
      </c>
      <c r="E2" s="10" t="s">
        <v>41</v>
      </c>
    </row>
    <row r="3" customFormat="false" ht="15" hidden="false" customHeight="false" outlineLevel="0" collapsed="false">
      <c r="A3" s="11" t="s">
        <v>8</v>
      </c>
      <c r="B3" s="2" t="s">
        <v>42</v>
      </c>
      <c r="C3" s="2" t="n">
        <v>200</v>
      </c>
      <c r="D3" s="3" t="n">
        <f aca="false">VLOOKUP(A3,Ingredientes!A:C,3,FALSE())</f>
        <v>5.5</v>
      </c>
      <c r="E3" s="3" t="n">
        <f aca="false">(C3/1000)*D3</f>
        <v>1.1</v>
      </c>
    </row>
    <row r="4" customFormat="false" ht="15" hidden="false" customHeight="false" outlineLevel="0" collapsed="false">
      <c r="A4" s="11" t="s">
        <v>14</v>
      </c>
      <c r="B4" s="2" t="s">
        <v>43</v>
      </c>
      <c r="C4" s="2" t="n">
        <v>150</v>
      </c>
      <c r="D4" s="3" t="n">
        <f aca="false">VLOOKUP(A4,Ingredientes!A:C,3,FALSE())</f>
        <v>12</v>
      </c>
      <c r="E4" s="3" t="n">
        <f aca="false">(C4/1000)*D4</f>
        <v>1.8</v>
      </c>
    </row>
    <row r="5" customFormat="false" ht="15" hidden="false" customHeight="false" outlineLevel="0" collapsed="false">
      <c r="A5" s="11" t="s">
        <v>12</v>
      </c>
      <c r="B5" s="2" t="s">
        <v>42</v>
      </c>
      <c r="C5" s="2" t="n">
        <v>50</v>
      </c>
      <c r="D5" s="3" t="n">
        <f aca="false">VLOOKUP(A5,Ingredientes!A:C,3,FALSE())</f>
        <v>22</v>
      </c>
      <c r="E5" s="3" t="n">
        <f aca="false">(C5/1000)*D5</f>
        <v>1.1</v>
      </c>
    </row>
    <row r="6" customFormat="false" ht="15" hidden="false" customHeight="false" outlineLevel="0" collapsed="false">
      <c r="A6" s="11" t="s">
        <v>16</v>
      </c>
      <c r="B6" s="2" t="s">
        <v>42</v>
      </c>
      <c r="C6" s="2" t="n">
        <v>20</v>
      </c>
      <c r="D6" s="3" t="n">
        <f aca="false">VLOOKUP(A6,Ingredientes!A:C,3,FALSE())</f>
        <v>18.5</v>
      </c>
      <c r="E6" s="3" t="n">
        <f aca="false">(C6/1000)*D6</f>
        <v>0.37</v>
      </c>
    </row>
    <row r="7" customFormat="false" ht="15" hidden="false" customHeight="false" outlineLevel="0" collapsed="false">
      <c r="A7" s="11"/>
      <c r="B7" s="2"/>
      <c r="C7" s="2"/>
      <c r="D7" s="3"/>
      <c r="E7" s="3"/>
    </row>
    <row r="8" customFormat="false" ht="15" hidden="false" customHeight="false" outlineLevel="0" collapsed="false">
      <c r="A8" s="11"/>
      <c r="B8" s="2"/>
      <c r="C8" s="2"/>
      <c r="D8" s="3"/>
      <c r="E8" s="3"/>
    </row>
    <row r="9" customFormat="false" ht="15" hidden="false" customHeight="false" outlineLevel="0" collapsed="false">
      <c r="A9" s="11"/>
      <c r="B9" s="2"/>
      <c r="C9" s="2"/>
      <c r="D9" s="3"/>
      <c r="E9" s="3"/>
    </row>
    <row r="10" customFormat="false" ht="15" hidden="false" customHeight="false" outlineLevel="0" collapsed="false">
      <c r="A10" s="11"/>
      <c r="B10" s="2"/>
      <c r="C10" s="2"/>
      <c r="D10" s="3"/>
      <c r="E10" s="3"/>
    </row>
    <row r="11" customFormat="false" ht="15" hidden="false" customHeight="false" outlineLevel="0" collapsed="false">
      <c r="A11" s="11"/>
      <c r="B11" s="2"/>
      <c r="C11" s="2"/>
      <c r="D11" s="3"/>
      <c r="E11" s="3"/>
    </row>
    <row r="12" customFormat="false" ht="15" hidden="false" customHeight="false" outlineLevel="0" collapsed="false">
      <c r="A12" s="11"/>
      <c r="B12" s="2"/>
      <c r="C12" s="2"/>
      <c r="D12" s="3"/>
      <c r="E12" s="3"/>
    </row>
    <row r="13" customFormat="false" ht="15" hidden="false" customHeight="false" outlineLevel="0" collapsed="false">
      <c r="A13" s="11"/>
      <c r="B13" s="2"/>
      <c r="C13" s="2"/>
      <c r="D13" s="3"/>
      <c r="E13" s="3"/>
    </row>
    <row r="14" customFormat="false" ht="15" hidden="false" customHeight="false" outlineLevel="0" collapsed="false">
      <c r="A14" s="11"/>
      <c r="B14" s="2"/>
      <c r="C14" s="2"/>
      <c r="D14" s="3"/>
      <c r="E14" s="3"/>
    </row>
    <row r="15" customFormat="false" ht="15" hidden="false" customHeight="false" outlineLevel="0" collapsed="false">
      <c r="A15" s="12" t="s">
        <v>44</v>
      </c>
      <c r="E15" s="13" t="n">
        <f aca="false">SUM(E3:E14)</f>
        <v>4.37</v>
      </c>
    </row>
    <row r="17" customFormat="false" ht="15" hidden="false" customHeight="false" outlineLevel="0" collapsed="false">
      <c r="A17" s="0" t="s">
        <v>45</v>
      </c>
      <c r="B17" s="14" t="n">
        <v>80</v>
      </c>
    </row>
    <row r="18" customFormat="false" ht="15" hidden="false" customHeight="false" outlineLevel="0" collapsed="false">
      <c r="A18" s="0" t="s">
        <v>46</v>
      </c>
      <c r="B18" s="15" t="n">
        <v>20</v>
      </c>
    </row>
    <row r="19" customFormat="false" ht="15" hidden="false" customHeight="false" outlineLevel="0" collapsed="false">
      <c r="A19" s="0" t="s">
        <v>47</v>
      </c>
      <c r="B19" s="16" t="n">
        <f aca="false">E15</f>
        <v>4.37</v>
      </c>
    </row>
    <row r="20" customFormat="false" ht="15" hidden="false" customHeight="false" outlineLevel="0" collapsed="false">
      <c r="A20" s="0" t="s">
        <v>48</v>
      </c>
      <c r="B20" s="17" t="n">
        <f aca="false">(B17*B18)-B19</f>
        <v>1595.63</v>
      </c>
    </row>
    <row r="21" customFormat="false" ht="15" hidden="false" customHeight="false" outlineLevel="0" collapsed="false">
      <c r="A21" s="0" t="s">
        <v>49</v>
      </c>
      <c r="B21" s="14" t="n">
        <f aca="false">B20/B18</f>
        <v>79.7815</v>
      </c>
    </row>
    <row r="22" customFormat="false" ht="15" hidden="false" customHeight="false" outlineLevel="0" collapsed="false">
      <c r="A22" s="0" t="s">
        <v>50</v>
      </c>
      <c r="B22" s="18" t="n">
        <f aca="false">((B20)/(B17*B18))*100</f>
        <v>99.726875</v>
      </c>
    </row>
    <row r="24" customFormat="false" ht="15" hidden="false" customHeight="false" outlineLevel="0" collapsed="false">
      <c r="A24" s="19" t="s">
        <v>18</v>
      </c>
      <c r="B24" s="19"/>
      <c r="C24" s="19"/>
      <c r="D24" s="19"/>
      <c r="E24" s="19"/>
    </row>
    <row r="25" customFormat="false" ht="15" hidden="false" customHeight="true" outlineLevel="0" collapsed="false">
      <c r="A25" s="20" t="s">
        <v>51</v>
      </c>
      <c r="B25" s="20"/>
      <c r="C25" s="20"/>
      <c r="D25" s="20"/>
      <c r="E25" s="20"/>
    </row>
    <row r="26" customFormat="false" ht="26.85" hidden="false" customHeight="false" outlineLevel="0" collapsed="false">
      <c r="A26" s="7" t="s">
        <v>52</v>
      </c>
      <c r="C26" s="8" t="s">
        <v>53</v>
      </c>
    </row>
    <row r="27" customFormat="false" ht="15" hidden="false" customHeight="false" outlineLevel="0" collapsed="false">
      <c r="A27" s="7" t="s">
        <v>54</v>
      </c>
      <c r="C27" s="8" t="s">
        <v>55</v>
      </c>
    </row>
    <row r="28" customFormat="false" ht="26.85" hidden="false" customHeight="false" outlineLevel="0" collapsed="false">
      <c r="A28" s="7" t="s">
        <v>56</v>
      </c>
      <c r="C28" s="8" t="s">
        <v>57</v>
      </c>
    </row>
    <row r="29" customFormat="false" ht="26.85" hidden="false" customHeight="false" outlineLevel="0" collapsed="false">
      <c r="A29" s="7" t="s">
        <v>58</v>
      </c>
      <c r="C29" s="8" t="s">
        <v>59</v>
      </c>
    </row>
    <row r="30" customFormat="false" ht="26.85" hidden="false" customHeight="false" outlineLevel="0" collapsed="false">
      <c r="A30" s="7" t="s">
        <v>60</v>
      </c>
      <c r="C30" s="8" t="s">
        <v>61</v>
      </c>
    </row>
    <row r="31" customFormat="false" ht="26.85" hidden="false" customHeight="false" outlineLevel="0" collapsed="false">
      <c r="A31" s="7" t="s">
        <v>62</v>
      </c>
      <c r="C31" s="8" t="s">
        <v>63</v>
      </c>
    </row>
    <row r="32" customFormat="false" ht="26.85" hidden="false" customHeight="false" outlineLevel="0" collapsed="false">
      <c r="A32" s="7" t="s">
        <v>64</v>
      </c>
      <c r="C32" s="8" t="s">
        <v>65</v>
      </c>
    </row>
    <row r="33" customFormat="false" ht="26.85" hidden="false" customHeight="false" outlineLevel="0" collapsed="false">
      <c r="A33" s="7" t="s">
        <v>66</v>
      </c>
      <c r="C33" s="8" t="s">
        <v>67</v>
      </c>
    </row>
    <row r="34" customFormat="false" ht="15" hidden="false" customHeight="false" outlineLevel="0" collapsed="false">
      <c r="A34" s="7"/>
    </row>
    <row r="35" customFormat="false" ht="15" hidden="false" customHeight="true" outlineLevel="0" collapsed="false">
      <c r="A35" s="20" t="s">
        <v>68</v>
      </c>
      <c r="B35" s="20"/>
      <c r="C35" s="20"/>
      <c r="D35" s="20"/>
      <c r="E35" s="20"/>
    </row>
    <row r="36" customFormat="false" ht="15" hidden="false" customHeight="false" outlineLevel="0" collapsed="false">
      <c r="A36" s="7" t="s">
        <v>69</v>
      </c>
    </row>
    <row r="37" customFormat="false" ht="26.85" hidden="false" customHeight="false" outlineLevel="0" collapsed="false">
      <c r="A37" s="7" t="s">
        <v>70</v>
      </c>
    </row>
    <row r="38" customFormat="false" ht="26.85" hidden="false" customHeight="false" outlineLevel="0" collapsed="false">
      <c r="A38" s="7" t="s">
        <v>71</v>
      </c>
    </row>
    <row r="39" customFormat="false" ht="15" hidden="false" customHeight="false" outlineLevel="0" collapsed="false">
      <c r="A39" s="7" t="s">
        <v>72</v>
      </c>
    </row>
    <row r="40" customFormat="false" ht="26.85" hidden="false" customHeight="false" outlineLevel="0" collapsed="false">
      <c r="A40" s="7" t="s">
        <v>73</v>
      </c>
    </row>
    <row r="41" customFormat="false" ht="15" hidden="false" customHeight="false" outlineLevel="0" collapsed="false">
      <c r="A41" s="7" t="s">
        <v>74</v>
      </c>
    </row>
    <row r="42" customFormat="false" ht="15" hidden="false" customHeight="false" outlineLevel="0" collapsed="false">
      <c r="A42" s="7" t="s">
        <v>75</v>
      </c>
      <c r="C42" s="8" t="s">
        <v>76</v>
      </c>
    </row>
  </sheetData>
  <mergeCells count="4">
    <mergeCell ref="A1:E1"/>
    <mergeCell ref="A24:E24"/>
    <mergeCell ref="A25:E25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5"/>
  </cols>
  <sheetData>
    <row r="1" customFormat="false" ht="15" hidden="false" customHeight="false" outlineLevel="0" collapsed="false">
      <c r="A1" s="21" t="s">
        <v>77</v>
      </c>
      <c r="B1" s="21" t="s">
        <v>78</v>
      </c>
      <c r="C1" s="21" t="s">
        <v>79</v>
      </c>
      <c r="D1" s="21" t="s">
        <v>80</v>
      </c>
      <c r="E1" s="21" t="s">
        <v>81</v>
      </c>
      <c r="F1" s="21" t="s">
        <v>82</v>
      </c>
      <c r="G1" s="21" t="s">
        <v>83</v>
      </c>
    </row>
    <row r="2" customFormat="false" ht="15" hidden="false" customHeight="false" outlineLevel="0" collapsed="false">
      <c r="A2" s="2" t="s">
        <v>84</v>
      </c>
      <c r="B2" s="3" t="n">
        <f aca="false">'Receitas Detalhadas'!B19</f>
        <v>4.37</v>
      </c>
      <c r="C2" s="3" t="n">
        <f aca="false">'Receitas Detalhadas'!B17</f>
        <v>80</v>
      </c>
      <c r="D2" s="2" t="n">
        <f aca="false">'Receitas Detalhadas'!B18</f>
        <v>20</v>
      </c>
      <c r="E2" s="3" t="n">
        <f aca="false">'Receitas Detalhadas'!B20</f>
        <v>1595.63</v>
      </c>
      <c r="F2" s="3" t="n">
        <f aca="false">'Receitas Detalhadas'!B21</f>
        <v>79.7815</v>
      </c>
      <c r="G2" s="22" t="n">
        <f aca="false">'Receitas Detalhadas'!B22</f>
        <v>99.726875</v>
      </c>
    </row>
    <row r="3" customFormat="false" ht="15" hidden="false" customHeight="false" outlineLevel="0" collapsed="false">
      <c r="A3" s="2"/>
      <c r="B3" s="3"/>
      <c r="C3" s="3"/>
      <c r="D3" s="2"/>
      <c r="E3" s="3"/>
      <c r="F3" s="3"/>
      <c r="G3" s="22"/>
    </row>
    <row r="4" customFormat="false" ht="15" hidden="false" customHeight="false" outlineLevel="0" collapsed="false">
      <c r="A4" s="2"/>
      <c r="B4" s="3"/>
      <c r="C4" s="3"/>
      <c r="D4" s="2"/>
      <c r="E4" s="3"/>
      <c r="F4" s="3"/>
      <c r="G4" s="22"/>
    </row>
    <row r="5" customFormat="false" ht="15" hidden="false" customHeight="false" outlineLevel="0" collapsed="false">
      <c r="A5" s="2"/>
      <c r="B5" s="3"/>
      <c r="C5" s="3"/>
      <c r="D5" s="2"/>
      <c r="E5" s="3"/>
      <c r="F5" s="3"/>
      <c r="G5" s="22"/>
    </row>
    <row r="6" customFormat="false" ht="15" hidden="false" customHeight="false" outlineLevel="0" collapsed="false">
      <c r="A6" s="2"/>
      <c r="B6" s="3"/>
      <c r="C6" s="3"/>
      <c r="D6" s="2"/>
      <c r="E6" s="3"/>
      <c r="F6" s="3"/>
      <c r="G6" s="22"/>
    </row>
    <row r="7" customFormat="false" ht="15" hidden="false" customHeight="false" outlineLevel="0" collapsed="false">
      <c r="A7" s="2"/>
      <c r="B7" s="3"/>
      <c r="C7" s="3"/>
      <c r="D7" s="2"/>
      <c r="E7" s="3"/>
      <c r="F7" s="3"/>
      <c r="G7" s="22"/>
    </row>
    <row r="8" customFormat="false" ht="15" hidden="false" customHeight="false" outlineLevel="0" collapsed="false">
      <c r="A8" s="2"/>
      <c r="B8" s="3"/>
      <c r="C8" s="3"/>
      <c r="D8" s="2"/>
      <c r="E8" s="3"/>
      <c r="F8" s="3"/>
      <c r="G8" s="22"/>
    </row>
    <row r="9" customFormat="false" ht="15" hidden="false" customHeight="false" outlineLevel="0" collapsed="false">
      <c r="A9" s="2"/>
      <c r="B9" s="3"/>
      <c r="C9" s="3"/>
      <c r="D9" s="2"/>
      <c r="E9" s="3"/>
      <c r="F9" s="3"/>
      <c r="G9" s="22"/>
    </row>
    <row r="10" customFormat="false" ht="15" hidden="false" customHeight="false" outlineLevel="0" collapsed="false">
      <c r="A10" s="2"/>
      <c r="B10" s="3"/>
      <c r="C10" s="3"/>
      <c r="D10" s="2"/>
      <c r="E10" s="3"/>
      <c r="F10" s="3"/>
      <c r="G10" s="22"/>
    </row>
    <row r="11" customFormat="false" ht="15" hidden="false" customHeight="false" outlineLevel="0" collapsed="false">
      <c r="A11" s="2"/>
      <c r="B11" s="3"/>
      <c r="C11" s="3"/>
      <c r="D11" s="2"/>
      <c r="E11" s="3"/>
      <c r="F11" s="3"/>
      <c r="G11" s="22"/>
    </row>
    <row r="13" customFormat="false" ht="15" hidden="false" customHeight="false" outlineLevel="0" collapsed="false">
      <c r="A13" s="23" t="s">
        <v>18</v>
      </c>
      <c r="B13" s="23"/>
      <c r="C13" s="23"/>
      <c r="D13" s="23"/>
      <c r="E13" s="23"/>
      <c r="F13" s="23"/>
      <c r="G13" s="23"/>
    </row>
    <row r="14" customFormat="false" ht="15" hidden="false" customHeight="true" outlineLevel="0" collapsed="false">
      <c r="A14" s="24" t="s">
        <v>85</v>
      </c>
      <c r="B14" s="24"/>
      <c r="C14" s="24"/>
      <c r="D14" s="24"/>
      <c r="E14" s="24"/>
      <c r="F14" s="24"/>
      <c r="G14" s="24"/>
    </row>
    <row r="15" customFormat="false" ht="26.85" hidden="false" customHeight="false" outlineLevel="0" collapsed="false">
      <c r="A15" s="7" t="s">
        <v>86</v>
      </c>
      <c r="D15" s="8" t="s">
        <v>87</v>
      </c>
    </row>
    <row r="16" customFormat="false" ht="15" hidden="false" customHeight="false" outlineLevel="0" collapsed="false">
      <c r="A16" s="7"/>
    </row>
    <row r="17" customFormat="false" ht="15" hidden="false" customHeight="true" outlineLevel="0" collapsed="false">
      <c r="A17" s="24" t="s">
        <v>88</v>
      </c>
      <c r="B17" s="24"/>
      <c r="C17" s="24"/>
      <c r="D17" s="24"/>
      <c r="E17" s="24"/>
      <c r="F17" s="24"/>
      <c r="G17" s="24"/>
    </row>
    <row r="18" customFormat="false" ht="26.85" hidden="false" customHeight="false" outlineLevel="0" collapsed="false">
      <c r="A18" s="7" t="s">
        <v>89</v>
      </c>
      <c r="D18" s="8" t="s">
        <v>90</v>
      </c>
    </row>
    <row r="19" customFormat="false" ht="26.85" hidden="false" customHeight="false" outlineLevel="0" collapsed="false">
      <c r="A19" s="7" t="s">
        <v>91</v>
      </c>
      <c r="D19" s="8" t="s">
        <v>92</v>
      </c>
    </row>
    <row r="20" customFormat="false" ht="26.85" hidden="false" customHeight="false" outlineLevel="0" collapsed="false">
      <c r="A20" s="7" t="s">
        <v>93</v>
      </c>
      <c r="D20" s="8" t="s">
        <v>94</v>
      </c>
    </row>
    <row r="21" customFormat="false" ht="15" hidden="false" customHeight="false" outlineLevel="0" collapsed="false">
      <c r="A21" s="7"/>
    </row>
    <row r="22" customFormat="false" ht="15" hidden="false" customHeight="true" outlineLevel="0" collapsed="false">
      <c r="A22" s="24" t="s">
        <v>95</v>
      </c>
      <c r="B22" s="24"/>
      <c r="C22" s="24"/>
      <c r="D22" s="24"/>
      <c r="E22" s="24"/>
      <c r="F22" s="24"/>
      <c r="G22" s="24"/>
    </row>
    <row r="23" customFormat="false" ht="26.85" hidden="false" customHeight="false" outlineLevel="0" collapsed="false">
      <c r="A23" s="7" t="s">
        <v>96</v>
      </c>
    </row>
    <row r="24" customFormat="false" ht="26.85" hidden="false" customHeight="false" outlineLevel="0" collapsed="false">
      <c r="A24" s="7" t="s">
        <v>97</v>
      </c>
    </row>
    <row r="25" customFormat="false" ht="26.85" hidden="false" customHeight="false" outlineLevel="0" collapsed="false">
      <c r="A25" s="7" t="s">
        <v>98</v>
      </c>
    </row>
    <row r="26" customFormat="false" ht="26.85" hidden="false" customHeight="false" outlineLevel="0" collapsed="false">
      <c r="A26" s="7" t="s">
        <v>99</v>
      </c>
    </row>
    <row r="27" customFormat="false" ht="26.85" hidden="false" customHeight="false" outlineLevel="0" collapsed="false">
      <c r="A27" s="7" t="s">
        <v>100</v>
      </c>
    </row>
    <row r="28" customFormat="false" ht="26.85" hidden="false" customHeight="false" outlineLevel="0" collapsed="false">
      <c r="A28" s="7" t="s">
        <v>101</v>
      </c>
    </row>
    <row r="29" customFormat="false" ht="15" hidden="false" customHeight="false" outlineLevel="0" collapsed="false">
      <c r="A29" s="7"/>
    </row>
    <row r="30" customFormat="false" ht="15" hidden="false" customHeight="false" outlineLevel="0" collapsed="false">
      <c r="A30" s="7" t="s">
        <v>102</v>
      </c>
    </row>
    <row r="31" customFormat="false" ht="26.85" hidden="false" customHeight="false" outlineLevel="0" collapsed="false">
      <c r="A31" s="7" t="s">
        <v>103</v>
      </c>
      <c r="D31" s="8" t="s">
        <v>104</v>
      </c>
    </row>
    <row r="32" customFormat="false" ht="26.85" hidden="false" customHeight="false" outlineLevel="0" collapsed="false">
      <c r="A32" s="7" t="s">
        <v>105</v>
      </c>
      <c r="D32" s="8" t="s">
        <v>106</v>
      </c>
    </row>
  </sheetData>
  <mergeCells count="4">
    <mergeCell ref="A13:G13"/>
    <mergeCell ref="A14:G14"/>
    <mergeCell ref="A17:G17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25" t="s">
        <v>107</v>
      </c>
      <c r="B1" s="25"/>
    </row>
    <row r="3" customFormat="false" ht="15" hidden="false" customHeight="false" outlineLevel="0" collapsed="false">
      <c r="A3" s="0" t="s">
        <v>108</v>
      </c>
      <c r="B3" s="15" t="n">
        <f aca="false">COUNTA(Ingredientes!A2:A16)</f>
        <v>5</v>
      </c>
    </row>
    <row r="4" customFormat="false" ht="15" hidden="false" customHeight="false" outlineLevel="0" collapsed="false">
      <c r="A4" s="0" t="s">
        <v>109</v>
      </c>
      <c r="B4" s="15" t="n">
        <f aca="false">COUNTA('Resumo Receitas'!A2:A11)</f>
        <v>1</v>
      </c>
    </row>
    <row r="5" customFormat="false" ht="15" hidden="false" customHeight="false" outlineLevel="0" collapsed="false">
      <c r="A5" s="0" t="s">
        <v>110</v>
      </c>
      <c r="B5" s="17" t="n">
        <f aca="false">SUM('Resumo Receitas'!E2:E11)</f>
        <v>1595.63</v>
      </c>
    </row>
    <row r="6" customFormat="false" ht="15" hidden="false" customHeight="false" outlineLevel="0" collapsed="false">
      <c r="A6" s="0" t="s">
        <v>111</v>
      </c>
      <c r="B6" s="26" t="n">
        <f aca="false">AVERAGE('Resumo Receitas'!G2:G11)</f>
        <v>99.726875</v>
      </c>
    </row>
    <row r="8" customFormat="false" ht="15" hidden="false" customHeight="false" outlineLevel="0" collapsed="false">
      <c r="A8" s="27" t="s">
        <v>112</v>
      </c>
    </row>
    <row r="9" customFormat="false" ht="26.85" hidden="false" customHeight="false" outlineLevel="0" collapsed="false">
      <c r="A9" s="7" t="s">
        <v>113</v>
      </c>
    </row>
    <row r="10" customFormat="false" ht="26.85" hidden="false" customHeight="false" outlineLevel="0" collapsed="false">
      <c r="A10" s="7" t="s">
        <v>114</v>
      </c>
    </row>
    <row r="11" customFormat="false" ht="15" hidden="false" customHeight="false" outlineLevel="0" collapsed="false">
      <c r="A11" s="7" t="s">
        <v>115</v>
      </c>
    </row>
    <row r="12" customFormat="false" ht="26.85" hidden="false" customHeight="false" outlineLevel="0" collapsed="false">
      <c r="A12" s="7" t="s">
        <v>116</v>
      </c>
    </row>
    <row r="13" customFormat="false" ht="15" hidden="false" customHeight="false" outlineLevel="0" collapsed="false">
      <c r="A13" s="7"/>
    </row>
    <row r="14" customFormat="false" ht="15" hidden="false" customHeight="false" outlineLevel="0" collapsed="false">
      <c r="A14" s="7" t="s">
        <v>117</v>
      </c>
    </row>
    <row r="15" customFormat="false" ht="26.85" hidden="false" customHeight="false" outlineLevel="0" collapsed="false">
      <c r="A15" s="7" t="s">
        <v>118</v>
      </c>
    </row>
    <row r="16" customFormat="false" ht="26.85" hidden="false" customHeight="false" outlineLevel="0" collapsed="false">
      <c r="A16" s="7" t="s">
        <v>119</v>
      </c>
    </row>
    <row r="17" customFormat="false" ht="26.85" hidden="false" customHeight="false" outlineLevel="0" collapsed="false">
      <c r="A17" s="7" t="s">
        <v>120</v>
      </c>
    </row>
    <row r="18" customFormat="false" ht="15" hidden="false" customHeight="false" outlineLevel="0" collapsed="false">
      <c r="A18" s="7"/>
    </row>
    <row r="19" customFormat="false" ht="15" hidden="false" customHeight="false" outlineLevel="0" collapsed="false">
      <c r="A19" s="28" t="s">
        <v>121</v>
      </c>
    </row>
    <row r="20" customFormat="false" ht="26.85" hidden="false" customHeight="false" outlineLevel="0" collapsed="false">
      <c r="A20" s="7" t="s">
        <v>122</v>
      </c>
    </row>
    <row r="21" customFormat="false" ht="26.85" hidden="false" customHeight="false" outlineLevel="0" collapsed="false">
      <c r="A21" s="7" t="s">
        <v>123</v>
      </c>
    </row>
    <row r="22" customFormat="false" ht="15" hidden="false" customHeight="false" outlineLevel="0" collapsed="false">
      <c r="A22" s="7"/>
    </row>
    <row r="23" customFormat="false" ht="15" hidden="false" customHeight="false" outlineLevel="0" collapsed="false">
      <c r="A23" s="28" t="s">
        <v>124</v>
      </c>
    </row>
    <row r="24" customFormat="false" ht="15" hidden="false" customHeight="false" outlineLevel="0" collapsed="false">
      <c r="A24" s="7" t="s">
        <v>125</v>
      </c>
    </row>
    <row r="25" customFormat="false" ht="15" hidden="false" customHeight="false" outlineLevel="0" collapsed="false">
      <c r="A25" s="7" t="s">
        <v>126</v>
      </c>
    </row>
    <row r="26" customFormat="false" ht="15" hidden="false" customHeight="false" outlineLevel="0" collapsed="false">
      <c r="A26" s="7" t="s">
        <v>127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2025-11-27T16:11:30Z</dcterms:created>
  <dc:creator>openpyxl</dc:creator>
  <dc:description/>
  <dc:language>pt-BR</dc:language>
  <cp:lastModifiedBy/>
  <dcterms:modified xsi:type="dcterms:W3CDTF">2025-11-27T14:49:23Z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